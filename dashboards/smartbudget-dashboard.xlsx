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Dashboard" sheetId="9" r:id="rId1"/>
    <sheet name="Monthly Spending Overview" sheetId="1" r:id="rId2"/>
    <sheet name="Expense Categories" sheetId="4" r:id="rId3"/>
    <sheet name="Payment Type Distribution" sheetId="6" r:id="rId4"/>
    <sheet name="Top Transactions" sheetId="7" r:id="rId5"/>
    <sheet name="KPI cards" sheetId="8" r:id="rId6"/>
  </sheets>
  <calcPr calcId="162913"/>
  <pivotCaches>
    <pivotCache cacheId="0" r:id="rId7"/>
    <pivotCache cacheId="6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9" l="1"/>
  <c r="B2" i="9"/>
  <c r="A2" i="9"/>
  <c r="C2" i="8" l="1"/>
  <c r="B2" i="8"/>
  <c r="A2" i="8"/>
</calcChain>
</file>

<file path=xl/sharedStrings.xml><?xml version="1.0" encoding="utf-8"?>
<sst xmlns="http://schemas.openxmlformats.org/spreadsheetml/2006/main" count="135" uniqueCount="22">
  <si>
    <t>transaction_id</t>
  </si>
  <si>
    <t>date</t>
  </si>
  <si>
    <t>category</t>
  </si>
  <si>
    <t>amount</t>
  </si>
  <si>
    <t>payment_type</t>
  </si>
  <si>
    <t>Food</t>
  </si>
  <si>
    <t>Card</t>
  </si>
  <si>
    <t>Transport</t>
  </si>
  <si>
    <t>Entertainment</t>
  </si>
  <si>
    <t>Subscriptions</t>
  </si>
  <si>
    <t>Cash</t>
  </si>
  <si>
    <t>Shopping</t>
  </si>
  <si>
    <t>Category</t>
  </si>
  <si>
    <t>Total Spent</t>
  </si>
  <si>
    <t>SUM(amount)</t>
  </si>
  <si>
    <t>Total</t>
  </si>
  <si>
    <t>Total Spending</t>
  </si>
  <si>
    <t>Average Transaction</t>
  </si>
  <si>
    <t>Largest Expense</t>
  </si>
  <si>
    <t>Названия строк</t>
  </si>
  <si>
    <t>Общий итог</t>
  </si>
  <si>
    <t>Сумма по полю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</si>
</sst>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applyBorder="1"/>
    <xf numFmtId="14" fontId="0" fillId="0" borderId="0" xfId="0" applyNumberFormat="1" applyBorder="1"/>
    <xf numFmtId="0" fontId="0" fillId="0" borderId="1" xfId="0" applyBorder="1"/>
    <xf numFmtId="0" fontId="0" fillId="0" borderId="2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14" fontId="0" fillId="0" borderId="7" xfId="0" applyNumberFormat="1" applyBorder="1"/>
    <xf numFmtId="0" fontId="0" fillId="0" borderId="7" xfId="0" applyBorder="1"/>
    <xf numFmtId="0" fontId="0" fillId="0" borderId="1" xfId="0" pivotButton="1" applyBorder="1"/>
    <xf numFmtId="0" fontId="0" fillId="0" borderId="4" xfId="0" applyBorder="1" applyAlignment="1">
      <alignment horizontal="left"/>
    </xf>
    <xf numFmtId="0" fontId="0" fillId="0" borderId="5" xfId="0" applyNumberFormat="1" applyBorder="1"/>
    <xf numFmtId="0" fontId="0" fillId="0" borderId="6" xfId="0" applyBorder="1" applyAlignment="1">
      <alignment horizontal="left"/>
    </xf>
    <xf numFmtId="0" fontId="0" fillId="0" borderId="8" xfId="0" applyNumberFormat="1" applyBorder="1"/>
    <xf numFmtId="2" fontId="0" fillId="0" borderId="7" xfId="0" applyNumberFormat="1" applyBorder="1"/>
    <xf numFmtId="0" fontId="1" fillId="0" borderId="8" xfId="0" applyFont="1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3" xfId="0" applyFont="1" applyBorder="1" applyAlignment="1">
      <alignment horizontal="right" vertical="center" wrapText="1"/>
    </xf>
    <xf numFmtId="2" fontId="0" fillId="0" borderId="7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14" fontId="0" fillId="0" borderId="7" xfId="0" applyNumberFormat="1" applyBorder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NumberFormat="1" applyBorder="1" applyAlignment="1">
      <alignment horizontal="right"/>
    </xf>
    <xf numFmtId="0" fontId="0" fillId="0" borderId="8" xfId="0" applyNumberFormat="1" applyBorder="1" applyAlignment="1">
      <alignment horizontal="right"/>
    </xf>
    <xf numFmtId="0" fontId="0" fillId="0" borderId="1" xfId="0" pivotButton="1" applyBorder="1" applyAlignment="1">
      <alignment horizontal="left"/>
    </xf>
    <xf numFmtId="0" fontId="0" fillId="0" borderId="0" xfId="0" pivotButton="1"/>
    <xf numFmtId="14" fontId="0" fillId="0" borderId="0" xfId="0" applyNumberFormat="1" applyAlignment="1">
      <alignment horizontal="left"/>
    </xf>
  </cellXfs>
  <cellStyles count="1">
    <cellStyle name="Обычный" xfId="0" builtinId="0"/>
  </cellStyles>
  <dxfs count="65">
    <dxf>
      <alignment horizontal="left" readingOrder="0"/>
    </dxf>
    <dxf>
      <alignment horizontal="left" readingOrder="0"/>
    </dxf>
    <dxf>
      <alignment horizontal="left" readingOrder="0"/>
    </dxf>
    <dxf>
      <alignment horizontal="right" readingOrder="0"/>
    </dxf>
    <dxf>
      <alignment horizontal="right" readingOrder="0"/>
    </dxf>
    <dxf>
      <alignment horizontal="right" readingOrder="0"/>
    </dxf>
    <dxf>
      <alignment horizontal="right" readingOrder="0"/>
    </dxf>
    <dxf>
      <alignment horizontal="right" readingOrder="0"/>
    </dxf>
    <dxf>
      <alignment horizontal="right" readingOrder="0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[smartbudget-dashboard.xlsx]Payment Type Distribution!Сводная таблица3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shade val="7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tint val="77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shade val="76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1">
              <a:tint val="77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>
              <a:shade val="76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1">
              <a:tint val="77000"/>
            </a:schemeClr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'Payment Type Distribution'!$B$1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89-47A0-91C0-EECA1298FC4E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89-47A0-91C0-EECA1298FC4E}"/>
              </c:ext>
            </c:extLst>
          </c:dPt>
          <c:cat>
            <c:strRef>
              <c:f>'Payment Type Distribution'!$A$2:$A$4</c:f>
              <c:strCache>
                <c:ptCount val="2"/>
                <c:pt idx="0">
                  <c:v>Card</c:v>
                </c:pt>
                <c:pt idx="1">
                  <c:v>Cash</c:v>
                </c:pt>
              </c:strCache>
            </c:strRef>
          </c:cat>
          <c:val>
            <c:numRef>
              <c:f>'Payment Type Distribution'!$B$2:$B$4</c:f>
              <c:numCache>
                <c:formatCode>General</c:formatCode>
                <c:ptCount val="2"/>
                <c:pt idx="0">
                  <c:v>391</c:v>
                </c:pt>
                <c:pt idx="1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89-47A0-91C0-EECA1298F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[smartbudget-dashboard.xlsx]Expense Categories!Сводная таблица1</c:name>
    <c:fmtId val="6"/>
  </c:pivotSource>
  <c:chart>
    <c:autoTitleDeleted val="1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5358705161854769E-2"/>
          <c:y val="0.26328484981044037"/>
          <c:w val="0.77769247594050739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'Expense Categories'!$B$1</c:f>
              <c:strCache>
                <c:ptCount val="1"/>
                <c:pt idx="0">
                  <c:v>Итог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'Expense Categories'!$A$2:$A$7</c:f>
              <c:strCache>
                <c:ptCount val="5"/>
                <c:pt idx="0">
                  <c:v>Entertainment</c:v>
                </c:pt>
                <c:pt idx="1">
                  <c:v>Food</c:v>
                </c:pt>
                <c:pt idx="2">
                  <c:v>Shopping</c:v>
                </c:pt>
                <c:pt idx="3">
                  <c:v>Subscriptions</c:v>
                </c:pt>
                <c:pt idx="4">
                  <c:v>Transport</c:v>
                </c:pt>
              </c:strCache>
            </c:strRef>
          </c:cat>
          <c:val>
            <c:numRef>
              <c:f>'Expense Categories'!$B$2:$B$7</c:f>
              <c:numCache>
                <c:formatCode>General</c:formatCode>
                <c:ptCount val="5"/>
                <c:pt idx="0">
                  <c:v>100</c:v>
                </c:pt>
                <c:pt idx="1">
                  <c:v>117</c:v>
                </c:pt>
                <c:pt idx="2">
                  <c:v>200</c:v>
                </c:pt>
                <c:pt idx="3">
                  <c:v>27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A9-4B6C-94CA-9FBB617E0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51538815"/>
        <c:axId val="751541727"/>
      </c:barChart>
      <c:catAx>
        <c:axId val="7515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541727"/>
        <c:crosses val="autoZero"/>
        <c:auto val="1"/>
        <c:lblAlgn val="ctr"/>
        <c:lblOffset val="100"/>
        <c:noMultiLvlLbl val="0"/>
      </c:catAx>
      <c:valAx>
        <c:axId val="75154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53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[smartbudget-dashboard.xlsx]Dashboard!Сводная таблица7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Daily Spending Trend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Dashboard!$L$19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Dashboard!$K$20:$K$35</c:f>
              <c:strCache>
                <c:ptCount val="15"/>
                <c:pt idx="0">
                  <c:v>03.01.2026</c:v>
                </c:pt>
                <c:pt idx="1">
                  <c:v>04.01.2026</c:v>
                </c:pt>
                <c:pt idx="2">
                  <c:v>05.01.2026</c:v>
                </c:pt>
                <c:pt idx="3">
                  <c:v>06.01.2026</c:v>
                </c:pt>
                <c:pt idx="4">
                  <c:v>07.01.2026</c:v>
                </c:pt>
                <c:pt idx="5">
                  <c:v>09.01.2026</c:v>
                </c:pt>
                <c:pt idx="6">
                  <c:v>10.01.2026</c:v>
                </c:pt>
                <c:pt idx="7">
                  <c:v>11.01.2026</c:v>
                </c:pt>
                <c:pt idx="8">
                  <c:v>12.01.2026</c:v>
                </c:pt>
                <c:pt idx="9">
                  <c:v>13.01.2026</c:v>
                </c:pt>
                <c:pt idx="10">
                  <c:v>15.01.2026</c:v>
                </c:pt>
                <c:pt idx="11">
                  <c:v>17.01.2026</c:v>
                </c:pt>
                <c:pt idx="12">
                  <c:v>18.01.2026</c:v>
                </c:pt>
                <c:pt idx="13">
                  <c:v>20.01.2026</c:v>
                </c:pt>
                <c:pt idx="14">
                  <c:v>21.01.2026</c:v>
                </c:pt>
              </c:strCache>
            </c:strRef>
          </c:cat>
          <c:val>
            <c:numRef>
              <c:f>Dashboard!$L$20:$L$35</c:f>
              <c:numCache>
                <c:formatCode>General</c:formatCode>
                <c:ptCount val="15"/>
                <c:pt idx="0">
                  <c:v>18</c:v>
                </c:pt>
                <c:pt idx="1">
                  <c:v>7</c:v>
                </c:pt>
                <c:pt idx="2">
                  <c:v>25</c:v>
                </c:pt>
                <c:pt idx="3">
                  <c:v>12</c:v>
                </c:pt>
                <c:pt idx="4">
                  <c:v>30</c:v>
                </c:pt>
                <c:pt idx="5">
                  <c:v>80</c:v>
                </c:pt>
                <c:pt idx="6">
                  <c:v>10</c:v>
                </c:pt>
                <c:pt idx="7">
                  <c:v>22</c:v>
                </c:pt>
                <c:pt idx="8">
                  <c:v>15</c:v>
                </c:pt>
                <c:pt idx="9">
                  <c:v>40</c:v>
                </c:pt>
                <c:pt idx="10">
                  <c:v>120</c:v>
                </c:pt>
                <c:pt idx="11">
                  <c:v>27</c:v>
                </c:pt>
                <c:pt idx="12">
                  <c:v>9</c:v>
                </c:pt>
                <c:pt idx="13">
                  <c:v>35</c:v>
                </c:pt>
                <c:pt idx="1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DF-46AE-A883-4BAB6008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8493152"/>
        <c:axId val="1138493568"/>
      </c:barChart>
      <c:catAx>
        <c:axId val="113849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8493568"/>
        <c:crosses val="autoZero"/>
        <c:auto val="1"/>
        <c:lblAlgn val="ctr"/>
        <c:lblOffset val="100"/>
        <c:noMultiLvlLbl val="0"/>
      </c:catAx>
      <c:valAx>
        <c:axId val="113849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3849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[smartbudget-dashboard.xlsx]Expense Categories!Сводная таблица1</c:name>
    <c:fmtId val="0"/>
  </c:pivotSource>
  <c:chart>
    <c:autoTitleDeleted val="1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5358705161854769E-2"/>
          <c:y val="0.26328484981044037"/>
          <c:w val="0.77769247594050739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'Expense Categories'!$B$1</c:f>
              <c:strCache>
                <c:ptCount val="1"/>
                <c:pt idx="0">
                  <c:v>Итог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'Expense Categories'!$A$2:$A$7</c:f>
              <c:strCache>
                <c:ptCount val="5"/>
                <c:pt idx="0">
                  <c:v>Entertainment</c:v>
                </c:pt>
                <c:pt idx="1">
                  <c:v>Food</c:v>
                </c:pt>
                <c:pt idx="2">
                  <c:v>Shopping</c:v>
                </c:pt>
                <c:pt idx="3">
                  <c:v>Subscriptions</c:v>
                </c:pt>
                <c:pt idx="4">
                  <c:v>Transport</c:v>
                </c:pt>
              </c:strCache>
            </c:strRef>
          </c:cat>
          <c:val>
            <c:numRef>
              <c:f>'Expense Categories'!$B$2:$B$7</c:f>
              <c:numCache>
                <c:formatCode>General</c:formatCode>
                <c:ptCount val="5"/>
                <c:pt idx="0">
                  <c:v>100</c:v>
                </c:pt>
                <c:pt idx="1">
                  <c:v>117</c:v>
                </c:pt>
                <c:pt idx="2">
                  <c:v>200</c:v>
                </c:pt>
                <c:pt idx="3">
                  <c:v>27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AA-4CF0-BA41-B0DCE66C7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51538815"/>
        <c:axId val="751541727"/>
      </c:barChart>
      <c:catAx>
        <c:axId val="7515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541727"/>
        <c:crosses val="autoZero"/>
        <c:auto val="1"/>
        <c:lblAlgn val="ctr"/>
        <c:lblOffset val="100"/>
        <c:noMultiLvlLbl val="0"/>
      </c:catAx>
      <c:valAx>
        <c:axId val="75154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53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[smartbudget-dashboard.xlsx]Payment Type Distribution!Сводная таблица3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shade val="7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tint val="77000"/>
            </a:schemeClr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'Payment Type Distribution'!$B$1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EC4-4848-9EE5-6EA1F5456C21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C4-4848-9EE5-6EA1F5456C21}"/>
              </c:ext>
            </c:extLst>
          </c:dPt>
          <c:cat>
            <c:strRef>
              <c:f>'Payment Type Distribution'!$A$2:$A$4</c:f>
              <c:strCache>
                <c:ptCount val="2"/>
                <c:pt idx="0">
                  <c:v>Card</c:v>
                </c:pt>
                <c:pt idx="1">
                  <c:v>Cash</c:v>
                </c:pt>
              </c:strCache>
            </c:strRef>
          </c:cat>
          <c:val>
            <c:numRef>
              <c:f>'Payment Type Distribution'!$B$2:$B$4</c:f>
              <c:numCache>
                <c:formatCode>General</c:formatCode>
                <c:ptCount val="2"/>
                <c:pt idx="0">
                  <c:v>391</c:v>
                </c:pt>
                <c:pt idx="1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65-421C-B6BF-FE3C8BB79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121920</xdr:colOff>
      <xdr:row>4</xdr:row>
      <xdr:rowOff>99060</xdr:rowOff>
    </xdr:from>
    <xdr:to>
      <xdr:col>13</xdr:col>
      <xdr:colOff>99060</xdr:colOff>
      <xdr:row>16</xdr:row>
      <xdr:rowOff>83820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0</xdr:rowOff>
    </xdr:from>
    <xdr:to>
      <xdr:col>3</xdr:col>
      <xdr:colOff>556260</xdr:colOff>
      <xdr:row>27</xdr:row>
      <xdr:rowOff>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598170</xdr:colOff>
      <xdr:row>24</xdr:row>
      <xdr:rowOff>179070</xdr:rowOff>
    </xdr:from>
    <xdr:to>
      <xdr:col>9</xdr:col>
      <xdr:colOff>247650</xdr:colOff>
      <xdr:row>39</xdr:row>
      <xdr:rowOff>179070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5</xdr:col>
      <xdr:colOff>45720</xdr:colOff>
      <xdr:row>23</xdr:row>
      <xdr:rowOff>7620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3810</xdr:rowOff>
    </xdr:from>
    <xdr:to>
      <xdr:col>5</xdr:col>
      <xdr:colOff>45720</xdr:colOff>
      <xdr:row>20</xdr:row>
      <xdr:rowOff>11430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162.476639351851" createdVersion="6" refreshedVersion="6" minRefreshableVersion="3" recordCount="15">
  <cacheSource type="worksheet">
    <worksheetSource ref="A1:E16" sheet="Monthly Spending Overview"/>
  </cacheSource>
  <cacheFields count="5">
    <cacheField name="transaction_id" numFmtId="0">
      <sharedItems containsSemiMixedTypes="0" containsString="0" containsNumber="1" containsInteger="1" minValue="1" maxValue="15"/>
    </cacheField>
    <cacheField name="date" numFmtId="14">
      <sharedItems containsSemiMixedTypes="0" containsNonDate="0" containsDate="1" containsString="0" minDate="2026-01-03T00:00:00" maxDate="2026-01-22T00:00:00"/>
    </cacheField>
    <cacheField name="category" numFmtId="0">
      <sharedItems count="5">
        <s v="Food"/>
        <s v="Transport"/>
        <s v="Entertainment"/>
        <s v="Subscriptions"/>
        <s v="Shopping"/>
      </sharedItems>
    </cacheField>
    <cacheField name="amount" numFmtId="0">
      <sharedItems containsSemiMixedTypes="0" containsString="0" containsNumber="1" containsInteger="1" minValue="7" maxValue="120"/>
    </cacheField>
    <cacheField name="payment_type" numFmtId="0">
      <sharedItems count="2">
        <s v="Card"/>
        <s v="Cas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Автор" refreshedDate="46163.66048958333" createdVersion="6" refreshedVersion="6" minRefreshableVersion="3" recordCount="15">
  <cacheSource type="worksheet">
    <worksheetSource ref="E1:I16" sheet="Dashboard"/>
  </cacheSource>
  <cacheFields count="5">
    <cacheField name="transaction_id" numFmtId="0">
      <sharedItems containsSemiMixedTypes="0" containsString="0" containsNumber="1" containsInteger="1" minValue="1" maxValue="15"/>
    </cacheField>
    <cacheField name="date" numFmtId="14">
      <sharedItems containsSemiMixedTypes="0" containsNonDate="0" containsDate="1" containsString="0" minDate="2026-01-03T00:00:00" maxDate="2026-01-22T00:00:00" count="15">
        <d v="2026-01-03T00:00:00"/>
        <d v="2026-01-04T00:00:00"/>
        <d v="2026-01-05T00:00:00"/>
        <d v="2026-01-06T00:00:00"/>
        <d v="2026-01-07T00:00:00"/>
        <d v="2026-01-09T00:00:00"/>
        <d v="2026-01-10T00:00:00"/>
        <d v="2026-01-11T00:00:00"/>
        <d v="2026-01-12T00:00:00"/>
        <d v="2026-01-13T00:00:00"/>
        <d v="2026-01-15T00:00:00"/>
        <d v="2026-01-17T00:00:00"/>
        <d v="2026-01-18T00:00:00"/>
        <d v="2026-01-20T00:00:00"/>
        <d v="2026-01-21T00:00:00"/>
      </sharedItems>
    </cacheField>
    <cacheField name="category" numFmtId="0">
      <sharedItems/>
    </cacheField>
    <cacheField name="amount" numFmtId="0">
      <sharedItems containsSemiMixedTypes="0" containsString="0" containsNumber="1" containsInteger="1" minValue="7" maxValue="120"/>
    </cacheField>
    <cacheField name="payment_typ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n v="1"/>
    <d v="2026-01-03T00:00:00"/>
    <x v="0"/>
    <n v="18"/>
    <x v="0"/>
  </r>
  <r>
    <n v="2"/>
    <d v="2026-01-04T00:00:00"/>
    <x v="1"/>
    <n v="7"/>
    <x v="0"/>
  </r>
  <r>
    <n v="3"/>
    <d v="2026-01-05T00:00:00"/>
    <x v="2"/>
    <n v="25"/>
    <x v="0"/>
  </r>
  <r>
    <n v="4"/>
    <d v="2026-01-06T00:00:00"/>
    <x v="3"/>
    <n v="12"/>
    <x v="0"/>
  </r>
  <r>
    <n v="5"/>
    <d v="2026-01-07T00:00:00"/>
    <x v="0"/>
    <n v="30"/>
    <x v="1"/>
  </r>
  <r>
    <n v="6"/>
    <d v="2026-01-09T00:00:00"/>
    <x v="4"/>
    <n v="80"/>
    <x v="0"/>
  </r>
  <r>
    <n v="7"/>
    <d v="2026-01-10T00:00:00"/>
    <x v="1"/>
    <n v="10"/>
    <x v="0"/>
  </r>
  <r>
    <n v="8"/>
    <d v="2026-01-11T00:00:00"/>
    <x v="0"/>
    <n v="22"/>
    <x v="1"/>
  </r>
  <r>
    <n v="9"/>
    <d v="2026-01-12T00:00:00"/>
    <x v="3"/>
    <n v="15"/>
    <x v="0"/>
  </r>
  <r>
    <n v="10"/>
    <d v="2026-01-13T00:00:00"/>
    <x v="2"/>
    <n v="40"/>
    <x v="0"/>
  </r>
  <r>
    <n v="11"/>
    <d v="2026-01-15T00:00:00"/>
    <x v="4"/>
    <n v="120"/>
    <x v="0"/>
  </r>
  <r>
    <n v="12"/>
    <d v="2026-01-17T00:00:00"/>
    <x v="0"/>
    <n v="27"/>
    <x v="1"/>
  </r>
  <r>
    <n v="13"/>
    <d v="2026-01-18T00:00:00"/>
    <x v="1"/>
    <n v="9"/>
    <x v="0"/>
  </r>
  <r>
    <n v="14"/>
    <d v="2026-01-20T00:00:00"/>
    <x v="2"/>
    <n v="35"/>
    <x v="0"/>
  </r>
  <r>
    <n v="15"/>
    <d v="2026-01-21T00:00:00"/>
    <x v="0"/>
    <n v="2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">
  <r>
    <n v="1"/>
    <x v="0"/>
    <s v="Food"/>
    <n v="18"/>
    <s v="Card"/>
  </r>
  <r>
    <n v="2"/>
    <x v="1"/>
    <s v="Transport"/>
    <n v="7"/>
    <s v="Card"/>
  </r>
  <r>
    <n v="3"/>
    <x v="2"/>
    <s v="Entertainment"/>
    <n v="25"/>
    <s v="Card"/>
  </r>
  <r>
    <n v="4"/>
    <x v="3"/>
    <s v="Subscriptions"/>
    <n v="12"/>
    <s v="Card"/>
  </r>
  <r>
    <n v="5"/>
    <x v="4"/>
    <s v="Food"/>
    <n v="30"/>
    <s v="Cash"/>
  </r>
  <r>
    <n v="6"/>
    <x v="5"/>
    <s v="Shopping"/>
    <n v="80"/>
    <s v="Card"/>
  </r>
  <r>
    <n v="7"/>
    <x v="6"/>
    <s v="Transport"/>
    <n v="10"/>
    <s v="Card"/>
  </r>
  <r>
    <n v="8"/>
    <x v="7"/>
    <s v="Food"/>
    <n v="22"/>
    <s v="Cash"/>
  </r>
  <r>
    <n v="9"/>
    <x v="8"/>
    <s v="Subscriptions"/>
    <n v="15"/>
    <s v="Card"/>
  </r>
  <r>
    <n v="10"/>
    <x v="9"/>
    <s v="Entertainment"/>
    <n v="40"/>
    <s v="Card"/>
  </r>
  <r>
    <n v="11"/>
    <x v="10"/>
    <s v="Shopping"/>
    <n v="120"/>
    <s v="Card"/>
  </r>
  <r>
    <n v="12"/>
    <x v="11"/>
    <s v="Food"/>
    <n v="27"/>
    <s v="Cash"/>
  </r>
  <r>
    <n v="13"/>
    <x v="12"/>
    <s v="Transport"/>
    <n v="9"/>
    <s v="Card"/>
  </r>
  <r>
    <n v="14"/>
    <x v="13"/>
    <s v="Entertainment"/>
    <n v="35"/>
    <s v="Card"/>
  </r>
  <r>
    <n v="15"/>
    <x v="14"/>
    <s v="Food"/>
    <n v="20"/>
    <s v="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7" cacheId="6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K19:L35" firstHeaderRow="1" firstDataRow="1" firstDataCol="1"/>
  <pivotFields count="5">
    <pivotField showAll="0"/>
    <pivotField axis="axisRow" numFmtId="14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Сумма по полю amount" fld="3" baseField="1" baseItem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Сводная таблица5" cacheId="0" applyNumberFormats="0" applyBorderFormats="0" applyFontFormats="0" applyPatternFormats="0" applyAlignmentFormats="0" applyWidthHeightFormats="1" dataCaption="Значения" grandTotalCaption="Total" updatedVersion="6" minRefreshableVersion="3" useAutoFormatting="1" itemPrintTitles="1" createdVersion="6" indent="0" outline="1" outlineData="1" multipleFieldFilters="0" chartFormat="1" rowHeaderCaption="Category">
  <location ref="A5:B11" firstHeaderRow="1" firstDataRow="1" firstDataCol="1"/>
  <pivotFields count="5">
    <pivotField showAll="0"/>
    <pivotField numFmtId="14" showAll="0"/>
    <pivotField axis="axisRow" showAll="0">
      <items count="6">
        <item x="2"/>
        <item x="0"/>
        <item x="4"/>
        <item x="3"/>
        <item x="1"/>
        <item t="default"/>
      </items>
    </pivotField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pent" fld="3" baseField="0" baseItem="0"/>
  </dataFields>
  <formats count="14">
    <format dxfId="9">
      <pivotArea type="all" dataOnly="0" outline="0" fieldPosition="0"/>
    </format>
    <format dxfId="10">
      <pivotArea outline="0" collapsedLevelsAreSubtotals="1" fieldPosition="0"/>
    </format>
    <format dxfId="11">
      <pivotArea field="2" type="button" dataOnly="0" labelOnly="1" outline="0" axis="axisRow" fieldPosition="0"/>
    </format>
    <format dxfId="12">
      <pivotArea dataOnly="0" labelOnly="1" outline="0" axis="axisValues" fieldPosition="0"/>
    </format>
    <format dxfId="13">
      <pivotArea dataOnly="0" labelOnly="1" fieldPosition="0">
        <references count="1">
          <reference field="2" count="0"/>
        </references>
      </pivotArea>
    </format>
    <format dxfId="14">
      <pivotArea dataOnly="0" labelOnly="1" grandRow="1" outline="0" fieldPosition="0"/>
    </format>
    <format dxfId="15">
      <pivotArea dataOnly="0" labelOnly="1" outline="0" axis="axisValues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field="2" type="button" dataOnly="0" labelOnly="1" outline="0" axis="axisRow" fieldPosition="0"/>
    </format>
    <format dxfId="19">
      <pivotArea dataOnly="0" labelOnly="1" outline="0" axis="axisValues" fieldPosition="0"/>
    </format>
    <format dxfId="20">
      <pivotArea dataOnly="0" labelOnly="1" fieldPosition="0">
        <references count="1">
          <reference field="2" count="0"/>
        </references>
      </pivotArea>
    </format>
    <format dxfId="21">
      <pivotArea dataOnly="0" labelOnly="1" grandRow="1" outline="0" fieldPosition="0"/>
    </format>
    <format dxfId="22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Сводная таблица4" cacheId="0" applyNumberFormats="0" applyBorderFormats="0" applyFontFormats="0" applyPatternFormats="0" applyAlignmentFormats="0" applyWidthHeightFormats="1" dataCaption="Значения" grandTotalCaption="Total" updatedVersion="6" minRefreshableVersion="3" useAutoFormatting="1" itemPrintTitles="1" createdVersion="6" indent="0" outline="1" outlineData="1" multipleFieldFilters="0" chartFormat="1" rowHeaderCaption="payment_type">
  <location ref="K1:L4" firstHeaderRow="1" firstDataRow="1" firstDataCol="1"/>
  <pivotFields count="5">
    <pivotField showAll="0"/>
    <pivotField numFmtId="14" showAll="0"/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(amount)" fld="3" baseField="0" baseItem="0"/>
  </dataFields>
  <formats count="23">
    <format dxfId="23">
      <pivotArea type="all" dataOnly="0" outline="0" fieldPosition="0"/>
    </format>
    <format dxfId="24">
      <pivotArea outline="0" collapsedLevelsAreSubtotals="1" fieldPosition="0"/>
    </format>
    <format dxfId="25">
      <pivotArea field="4" type="button" dataOnly="0" labelOnly="1" outline="0" axis="axisRow" fieldPosition="0"/>
    </format>
    <format dxfId="26">
      <pivotArea dataOnly="0" labelOnly="1" outline="0" axis="axisValues" fieldPosition="0"/>
    </format>
    <format dxfId="27">
      <pivotArea dataOnly="0" labelOnly="1" fieldPosition="0">
        <references count="1">
          <reference field="4" count="0"/>
        </references>
      </pivotArea>
    </format>
    <format dxfId="28">
      <pivotArea dataOnly="0" labelOnly="1" grandRow="1" outline="0" fieldPosition="0"/>
    </format>
    <format dxfId="29">
      <pivotArea dataOnly="0" labelOnly="1" outline="0" axis="axisValues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field="4" type="button" dataOnly="0" labelOnly="1" outline="0" axis="axisRow" fieldPosition="0"/>
    </format>
    <format dxfId="33">
      <pivotArea dataOnly="0" labelOnly="1" outline="0" axis="axisValues" fieldPosition="0"/>
    </format>
    <format dxfId="34">
      <pivotArea dataOnly="0" labelOnly="1" fieldPosition="0">
        <references count="1">
          <reference field="4" count="0"/>
        </references>
      </pivotArea>
    </format>
    <format dxfId="35">
      <pivotArea dataOnly="0" labelOnly="1" grandRow="1" outline="0" fieldPosition="0"/>
    </format>
    <format dxfId="36">
      <pivotArea dataOnly="0" labelOnly="1" outline="0" axis="axisValues" fieldPosition="0"/>
    </format>
    <format dxfId="8">
      <pivotArea field="4" type="button" dataOnly="0" labelOnly="1" outline="0" axis="axisRow" fieldPosition="0"/>
    </format>
    <format dxfId="7">
      <pivotArea dataOnly="0" labelOnly="1" fieldPosition="0">
        <references count="1">
          <reference field="4" count="0"/>
        </references>
      </pivotArea>
    </format>
    <format dxfId="6">
      <pivotArea dataOnly="0" labelOnly="1" grandRow="1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dataOnly="0" labelOnly="1" outline="0" axis="axisValues" fieldPosition="0"/>
    </format>
    <format dxfId="2">
      <pivotArea field="4" type="button" dataOnly="0" labelOnly="1" outline="0" axis="axisRow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Row="1" outline="0" fieldPosition="0"/>
    </format>
  </formats>
  <chartFormats count="3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Сводная таблица1" cacheId="0" applyNumberFormats="0" applyBorderFormats="0" applyFontFormats="0" applyPatternFormats="0" applyAlignmentFormats="0" applyWidthHeightFormats="1" dataCaption="Значения" grandTotalCaption="Total" updatedVersion="6" minRefreshableVersion="3" useAutoFormatting="1" itemPrintTitles="1" createdVersion="6" indent="0" outline="1" outlineData="1" multipleFieldFilters="0" chartFormat="7" rowHeaderCaption="Category">
  <location ref="A1:B7" firstHeaderRow="1" firstDataRow="1" firstDataCol="1"/>
  <pivotFields count="5">
    <pivotField showAll="0"/>
    <pivotField numFmtId="14" showAll="0"/>
    <pivotField axis="axisRow" showAll="0">
      <items count="6">
        <item x="2"/>
        <item x="0"/>
        <item x="4"/>
        <item x="3"/>
        <item x="1"/>
        <item t="default"/>
      </items>
    </pivotField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pent" fld="3" baseField="0" baseItem="0"/>
  </dataFields>
  <formats count="14"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2" type="button" dataOnly="0" labelOnly="1" outline="0" axis="axisRow" fieldPosition="0"/>
    </format>
    <format dxfId="61">
      <pivotArea dataOnly="0" labelOnly="1" outline="0" axis="axisValues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2" type="button" dataOnly="0" labelOnly="1" outline="0" axis="axisRow" fieldPosition="0"/>
    </format>
    <format dxfId="54">
      <pivotArea dataOnly="0" labelOnly="1" outline="0" axis="axisValues" fieldPosition="0"/>
    </format>
    <format dxfId="53">
      <pivotArea dataOnly="0" labelOnly="1" fieldPosition="0">
        <references count="1">
          <reference field="2" count="0"/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Сводная таблица3" cacheId="0" applyNumberFormats="0" applyBorderFormats="0" applyFontFormats="0" applyPatternFormats="0" applyAlignmentFormats="0" applyWidthHeightFormats="1" dataCaption="Значения" grandTotalCaption="Total" updatedVersion="6" minRefreshableVersion="3" useAutoFormatting="1" itemPrintTitles="1" createdVersion="6" indent="0" outline="1" outlineData="1" multipleFieldFilters="0" chartFormat="4" rowHeaderCaption="payment_type">
  <location ref="A1:B4" firstHeaderRow="1" firstDataRow="1" firstDataCol="1"/>
  <pivotFields count="5">
    <pivotField showAll="0"/>
    <pivotField numFmtId="14" showAll="0"/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(amount)" fld="3" baseField="0" baseItem="0"/>
  </dataFields>
  <formats count="14"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4" type="button" dataOnly="0" labelOnly="1" outline="0" axis="axisRow" fieldPosition="0"/>
    </format>
    <format dxfId="47">
      <pivotArea dataOnly="0" labelOnly="1" outline="0" axis="axisValues" fieldPosition="0"/>
    </format>
    <format dxfId="46">
      <pivotArea dataOnly="0" labelOnly="1" fieldPosition="0">
        <references count="1">
          <reference field="4" count="0"/>
        </references>
      </pivotArea>
    </format>
    <format dxfId="45">
      <pivotArea dataOnly="0" labelOnly="1" grandRow="1" outline="0" fieldPosition="0"/>
    </format>
    <format dxfId="44">
      <pivotArea dataOnly="0" labelOnly="1" outline="0" axis="axisValues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4" type="button" dataOnly="0" labelOnly="1" outline="0" axis="axisRow" fieldPosition="0"/>
    </format>
    <format dxfId="40">
      <pivotArea dataOnly="0" labelOnly="1" outline="0" axis="axisValues" fieldPosition="0"/>
    </format>
    <format dxfId="39">
      <pivotArea dataOnly="0" labelOnly="1" fieldPosition="0">
        <references count="1">
          <reference field="4" count="0"/>
        </references>
      </pivotArea>
    </format>
    <format dxfId="38">
      <pivotArea dataOnly="0" labelOnly="1" grandRow="1" outline="0" fieldPosition="0"/>
    </format>
    <format dxfId="37">
      <pivotArea dataOnly="0" labelOnly="1" outline="0" axis="axisValues" fieldPosition="0"/>
    </format>
  </formats>
  <chartFormats count="6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zoomScale="66" zoomScaleNormal="66" workbookViewId="0">
      <selection activeCell="T40" sqref="T40"/>
    </sheetView>
  </sheetViews>
  <sheetFormatPr defaultRowHeight="14.4" x14ac:dyDescent="0.3"/>
  <cols>
    <col min="1" max="1" width="15" customWidth="1"/>
    <col min="2" max="2" width="17.6640625" customWidth="1"/>
    <col min="3" max="3" width="16.88671875" customWidth="1"/>
    <col min="5" max="5" width="13.6640625" style="24" customWidth="1"/>
    <col min="6" max="6" width="12.88671875" customWidth="1"/>
    <col min="7" max="7" width="15" style="24" customWidth="1"/>
    <col min="8" max="8" width="8.88671875" style="24" customWidth="1"/>
    <col min="9" max="9" width="12.44140625" style="24" customWidth="1"/>
    <col min="11" max="11" width="17" style="3" customWidth="1"/>
    <col min="12" max="12" width="22.33203125" style="24" customWidth="1"/>
  </cols>
  <sheetData>
    <row r="1" spans="1:12" x14ac:dyDescent="0.3">
      <c r="A1" s="30" t="s">
        <v>16</v>
      </c>
      <c r="B1" s="25" t="s">
        <v>17</v>
      </c>
      <c r="C1" s="28" t="s">
        <v>18</v>
      </c>
      <c r="E1" s="30" t="s">
        <v>0</v>
      </c>
      <c r="F1" s="32" t="s">
        <v>1</v>
      </c>
      <c r="G1" s="25" t="s">
        <v>2</v>
      </c>
      <c r="H1" s="25" t="s">
        <v>3</v>
      </c>
      <c r="I1" s="21" t="s">
        <v>4</v>
      </c>
      <c r="K1" s="39" t="s">
        <v>4</v>
      </c>
      <c r="L1" s="21" t="s">
        <v>14</v>
      </c>
    </row>
    <row r="2" spans="1:12" ht="15" thickBot="1" x14ac:dyDescent="0.35">
      <c r="A2" s="11">
        <f>SUM('Monthly Spending Overview'!D2:D16)</f>
        <v>470</v>
      </c>
      <c r="B2" s="19">
        <f>AVERAGE('Monthly Spending Overview'!D2:D16)</f>
        <v>31.333333333333332</v>
      </c>
      <c r="C2" s="20">
        <f>MAX('Monthly Spending Overview'!D2:D16)</f>
        <v>120</v>
      </c>
      <c r="E2" s="36">
        <v>1</v>
      </c>
      <c r="F2" s="5">
        <v>46025</v>
      </c>
      <c r="G2" s="26" t="s">
        <v>5</v>
      </c>
      <c r="H2" s="26">
        <v>18</v>
      </c>
      <c r="I2" s="22" t="s">
        <v>6</v>
      </c>
      <c r="K2" s="15" t="s">
        <v>6</v>
      </c>
      <c r="L2" s="37">
        <v>391</v>
      </c>
    </row>
    <row r="3" spans="1:12" x14ac:dyDescent="0.3">
      <c r="E3" s="36">
        <v>2</v>
      </c>
      <c r="F3" s="5">
        <v>46026</v>
      </c>
      <c r="G3" s="26" t="s">
        <v>7</v>
      </c>
      <c r="H3" s="26">
        <v>7</v>
      </c>
      <c r="I3" s="22" t="s">
        <v>6</v>
      </c>
      <c r="K3" s="15" t="s">
        <v>10</v>
      </c>
      <c r="L3" s="37">
        <v>79</v>
      </c>
    </row>
    <row r="4" spans="1:12" ht="15" thickBot="1" x14ac:dyDescent="0.35">
      <c r="E4" s="36">
        <v>3</v>
      </c>
      <c r="F4" s="5">
        <v>46027</v>
      </c>
      <c r="G4" s="26" t="s">
        <v>8</v>
      </c>
      <c r="H4" s="26">
        <v>25</v>
      </c>
      <c r="I4" s="22" t="s">
        <v>6</v>
      </c>
      <c r="K4" s="17" t="s">
        <v>15</v>
      </c>
      <c r="L4" s="38">
        <v>470</v>
      </c>
    </row>
    <row r="5" spans="1:12" x14ac:dyDescent="0.3">
      <c r="A5" s="14" t="s">
        <v>12</v>
      </c>
      <c r="B5" s="9" t="s">
        <v>13</v>
      </c>
      <c r="E5" s="36">
        <v>4</v>
      </c>
      <c r="F5" s="5">
        <v>46028</v>
      </c>
      <c r="G5" s="26" t="s">
        <v>9</v>
      </c>
      <c r="H5" s="26">
        <v>12</v>
      </c>
      <c r="I5" s="22" t="s">
        <v>6</v>
      </c>
    </row>
    <row r="6" spans="1:12" x14ac:dyDescent="0.3">
      <c r="A6" s="15" t="s">
        <v>8</v>
      </c>
      <c r="B6" s="16">
        <v>100</v>
      </c>
      <c r="E6" s="36">
        <v>5</v>
      </c>
      <c r="F6" s="5">
        <v>46029</v>
      </c>
      <c r="G6" s="26" t="s">
        <v>5</v>
      </c>
      <c r="H6" s="26">
        <v>30</v>
      </c>
      <c r="I6" s="22" t="s">
        <v>10</v>
      </c>
    </row>
    <row r="7" spans="1:12" x14ac:dyDescent="0.3">
      <c r="A7" s="15" t="s">
        <v>5</v>
      </c>
      <c r="B7" s="16">
        <v>117</v>
      </c>
      <c r="E7" s="36">
        <v>6</v>
      </c>
      <c r="F7" s="5">
        <v>46031</v>
      </c>
      <c r="G7" s="26" t="s">
        <v>11</v>
      </c>
      <c r="H7" s="26">
        <v>80</v>
      </c>
      <c r="I7" s="22" t="s">
        <v>6</v>
      </c>
    </row>
    <row r="8" spans="1:12" x14ac:dyDescent="0.3">
      <c r="A8" s="15" t="s">
        <v>11</v>
      </c>
      <c r="B8" s="16">
        <v>200</v>
      </c>
      <c r="E8" s="36">
        <v>7</v>
      </c>
      <c r="F8" s="5">
        <v>46032</v>
      </c>
      <c r="G8" s="26" t="s">
        <v>7</v>
      </c>
      <c r="H8" s="26">
        <v>10</v>
      </c>
      <c r="I8" s="22" t="s">
        <v>6</v>
      </c>
    </row>
    <row r="9" spans="1:12" x14ac:dyDescent="0.3">
      <c r="A9" s="15" t="s">
        <v>9</v>
      </c>
      <c r="B9" s="16">
        <v>27</v>
      </c>
      <c r="E9" s="36">
        <v>8</v>
      </c>
      <c r="F9" s="5">
        <v>46033</v>
      </c>
      <c r="G9" s="26" t="s">
        <v>5</v>
      </c>
      <c r="H9" s="26">
        <v>22</v>
      </c>
      <c r="I9" s="22" t="s">
        <v>10</v>
      </c>
    </row>
    <row r="10" spans="1:12" x14ac:dyDescent="0.3">
      <c r="A10" s="15" t="s">
        <v>7</v>
      </c>
      <c r="B10" s="16">
        <v>26</v>
      </c>
      <c r="E10" s="36">
        <v>9</v>
      </c>
      <c r="F10" s="5">
        <v>46034</v>
      </c>
      <c r="G10" s="26" t="s">
        <v>9</v>
      </c>
      <c r="H10" s="26">
        <v>15</v>
      </c>
      <c r="I10" s="22" t="s">
        <v>6</v>
      </c>
    </row>
    <row r="11" spans="1:12" ht="15" thickBot="1" x14ac:dyDescent="0.35">
      <c r="A11" s="17" t="s">
        <v>15</v>
      </c>
      <c r="B11" s="18">
        <v>470</v>
      </c>
      <c r="E11" s="36">
        <v>10</v>
      </c>
      <c r="F11" s="5">
        <v>46035</v>
      </c>
      <c r="G11" s="26" t="s">
        <v>8</v>
      </c>
      <c r="H11" s="26">
        <v>40</v>
      </c>
      <c r="I11" s="22" t="s">
        <v>6</v>
      </c>
    </row>
    <row r="12" spans="1:12" x14ac:dyDescent="0.3">
      <c r="E12" s="36">
        <v>11</v>
      </c>
      <c r="F12" s="5">
        <v>46037</v>
      </c>
      <c r="G12" s="26" t="s">
        <v>11</v>
      </c>
      <c r="H12" s="26">
        <v>120</v>
      </c>
      <c r="I12" s="22" t="s">
        <v>6</v>
      </c>
    </row>
    <row r="13" spans="1:12" x14ac:dyDescent="0.3">
      <c r="E13" s="36">
        <v>12</v>
      </c>
      <c r="F13" s="5">
        <v>46039</v>
      </c>
      <c r="G13" s="26" t="s">
        <v>5</v>
      </c>
      <c r="H13" s="26">
        <v>27</v>
      </c>
      <c r="I13" s="22" t="s">
        <v>10</v>
      </c>
    </row>
    <row r="14" spans="1:12" x14ac:dyDescent="0.3">
      <c r="E14" s="36">
        <v>13</v>
      </c>
      <c r="F14" s="5">
        <v>46040</v>
      </c>
      <c r="G14" s="26" t="s">
        <v>7</v>
      </c>
      <c r="H14" s="26">
        <v>9</v>
      </c>
      <c r="I14" s="22" t="s">
        <v>6</v>
      </c>
    </row>
    <row r="15" spans="1:12" x14ac:dyDescent="0.3">
      <c r="E15" s="36">
        <v>14</v>
      </c>
      <c r="F15" s="5">
        <v>46042</v>
      </c>
      <c r="G15" s="26" t="s">
        <v>8</v>
      </c>
      <c r="H15" s="26">
        <v>35</v>
      </c>
      <c r="I15" s="22" t="s">
        <v>6</v>
      </c>
    </row>
    <row r="16" spans="1:12" ht="15" thickBot="1" x14ac:dyDescent="0.35">
      <c r="E16" s="31">
        <v>15</v>
      </c>
      <c r="F16" s="12">
        <v>46043</v>
      </c>
      <c r="G16" s="27" t="s">
        <v>5</v>
      </c>
      <c r="H16" s="27">
        <v>20</v>
      </c>
      <c r="I16" s="23" t="s">
        <v>6</v>
      </c>
    </row>
    <row r="18" spans="5:12" ht="15" thickBot="1" x14ac:dyDescent="0.35">
      <c r="E18" s="26"/>
      <c r="F18" s="4"/>
    </row>
    <row r="19" spans="5:12" x14ac:dyDescent="0.3">
      <c r="E19" s="30" t="s">
        <v>0</v>
      </c>
      <c r="F19" s="7" t="s">
        <v>1</v>
      </c>
      <c r="G19" s="25" t="s">
        <v>2</v>
      </c>
      <c r="H19" s="25" t="s">
        <v>3</v>
      </c>
      <c r="I19" s="21" t="s">
        <v>4</v>
      </c>
      <c r="K19" s="40" t="s">
        <v>19</v>
      </c>
      <c r="L19" t="s">
        <v>21</v>
      </c>
    </row>
    <row r="20" spans="5:12" x14ac:dyDescent="0.3">
      <c r="E20" s="36">
        <v>11</v>
      </c>
      <c r="F20" s="5">
        <v>46037</v>
      </c>
      <c r="G20" s="26" t="s">
        <v>11</v>
      </c>
      <c r="H20" s="26">
        <v>120</v>
      </c>
      <c r="I20" s="22" t="s">
        <v>6</v>
      </c>
      <c r="K20" s="41">
        <v>46025</v>
      </c>
      <c r="L20" s="2">
        <v>18</v>
      </c>
    </row>
    <row r="21" spans="5:12" x14ac:dyDescent="0.3">
      <c r="E21" s="36">
        <v>6</v>
      </c>
      <c r="F21" s="5">
        <v>46031</v>
      </c>
      <c r="G21" s="26" t="s">
        <v>11</v>
      </c>
      <c r="H21" s="26">
        <v>80</v>
      </c>
      <c r="I21" s="22" t="s">
        <v>6</v>
      </c>
      <c r="K21" s="41">
        <v>46026</v>
      </c>
      <c r="L21" s="2">
        <v>7</v>
      </c>
    </row>
    <row r="22" spans="5:12" x14ac:dyDescent="0.3">
      <c r="E22" s="36">
        <v>10</v>
      </c>
      <c r="F22" s="5">
        <v>46035</v>
      </c>
      <c r="G22" s="26" t="s">
        <v>8</v>
      </c>
      <c r="H22" s="26">
        <v>40</v>
      </c>
      <c r="I22" s="22" t="s">
        <v>6</v>
      </c>
      <c r="K22" s="41">
        <v>46027</v>
      </c>
      <c r="L22" s="2">
        <v>25</v>
      </c>
    </row>
    <row r="23" spans="5:12" x14ac:dyDescent="0.3">
      <c r="E23" s="36">
        <v>14</v>
      </c>
      <c r="F23" s="5">
        <v>46042</v>
      </c>
      <c r="G23" s="26" t="s">
        <v>8</v>
      </c>
      <c r="H23" s="26">
        <v>35</v>
      </c>
      <c r="I23" s="22" t="s">
        <v>6</v>
      </c>
      <c r="K23" s="41">
        <v>46028</v>
      </c>
      <c r="L23" s="2">
        <v>12</v>
      </c>
    </row>
    <row r="24" spans="5:12" ht="15" thickBot="1" x14ac:dyDescent="0.35">
      <c r="E24" s="31">
        <v>5</v>
      </c>
      <c r="F24" s="12">
        <v>46029</v>
      </c>
      <c r="G24" s="27" t="s">
        <v>5</v>
      </c>
      <c r="H24" s="27">
        <v>30</v>
      </c>
      <c r="I24" s="23" t="s">
        <v>10</v>
      </c>
      <c r="K24" s="41">
        <v>46029</v>
      </c>
      <c r="L24" s="2">
        <v>30</v>
      </c>
    </row>
    <row r="25" spans="5:12" x14ac:dyDescent="0.3">
      <c r="K25" s="41">
        <v>46031</v>
      </c>
      <c r="L25" s="2">
        <v>80</v>
      </c>
    </row>
    <row r="26" spans="5:12" x14ac:dyDescent="0.3">
      <c r="K26" s="41">
        <v>46032</v>
      </c>
      <c r="L26" s="2">
        <v>10</v>
      </c>
    </row>
    <row r="27" spans="5:12" x14ac:dyDescent="0.3">
      <c r="K27" s="41">
        <v>46033</v>
      </c>
      <c r="L27" s="2">
        <v>22</v>
      </c>
    </row>
    <row r="28" spans="5:12" x14ac:dyDescent="0.3">
      <c r="K28" s="41">
        <v>46034</v>
      </c>
      <c r="L28" s="2">
        <v>15</v>
      </c>
    </row>
    <row r="29" spans="5:12" x14ac:dyDescent="0.3">
      <c r="K29" s="41">
        <v>46035</v>
      </c>
      <c r="L29" s="2">
        <v>40</v>
      </c>
    </row>
    <row r="30" spans="5:12" x14ac:dyDescent="0.3">
      <c r="K30" s="41">
        <v>46037</v>
      </c>
      <c r="L30" s="2">
        <v>120</v>
      </c>
    </row>
    <row r="31" spans="5:12" x14ac:dyDescent="0.3">
      <c r="K31" s="41">
        <v>46039</v>
      </c>
      <c r="L31" s="2">
        <v>27</v>
      </c>
    </row>
    <row r="32" spans="5:12" x14ac:dyDescent="0.3">
      <c r="K32" s="41">
        <v>46040</v>
      </c>
      <c r="L32" s="2">
        <v>9</v>
      </c>
    </row>
    <row r="33" spans="11:12" x14ac:dyDescent="0.3">
      <c r="K33" s="41">
        <v>46042</v>
      </c>
      <c r="L33" s="2">
        <v>35</v>
      </c>
    </row>
    <row r="34" spans="11:12" x14ac:dyDescent="0.3">
      <c r="K34" s="41">
        <v>46043</v>
      </c>
      <c r="L34" s="2">
        <v>20</v>
      </c>
    </row>
    <row r="35" spans="11:12" x14ac:dyDescent="0.3">
      <c r="K35" s="41" t="s">
        <v>20</v>
      </c>
      <c r="L35" s="2">
        <v>470</v>
      </c>
    </row>
    <row r="36" spans="11:12" x14ac:dyDescent="0.3">
      <c r="K36"/>
      <c r="L36"/>
    </row>
  </sheetData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H14" sqref="H14"/>
    </sheetView>
  </sheetViews>
  <sheetFormatPr defaultRowHeight="14.4" x14ac:dyDescent="0.3"/>
  <cols>
    <col min="1" max="1" width="12.44140625" style="24" customWidth="1"/>
    <col min="2" max="2" width="12.44140625" style="35" customWidth="1"/>
    <col min="3" max="3" width="12.44140625" style="24" customWidth="1"/>
    <col min="4" max="4" width="15.88671875" style="24" customWidth="1"/>
    <col min="5" max="5" width="13.5546875" style="24" customWidth="1"/>
    <col min="7" max="8" width="19" customWidth="1"/>
  </cols>
  <sheetData>
    <row r="1" spans="1:8" x14ac:dyDescent="0.3">
      <c r="A1" s="30" t="s">
        <v>0</v>
      </c>
      <c r="B1" s="32" t="s">
        <v>1</v>
      </c>
      <c r="C1" s="25" t="s">
        <v>2</v>
      </c>
      <c r="D1" s="25" t="s">
        <v>3</v>
      </c>
      <c r="E1" s="21" t="s">
        <v>4</v>
      </c>
    </row>
    <row r="2" spans="1:8" x14ac:dyDescent="0.3">
      <c r="A2" s="36">
        <v>1</v>
      </c>
      <c r="B2" s="33">
        <v>46025</v>
      </c>
      <c r="C2" s="26" t="s">
        <v>5</v>
      </c>
      <c r="D2" s="26">
        <v>18</v>
      </c>
      <c r="E2" s="22" t="s">
        <v>6</v>
      </c>
      <c r="G2" s="3"/>
      <c r="H2" s="2"/>
    </row>
    <row r="3" spans="1:8" x14ac:dyDescent="0.3">
      <c r="A3" s="36">
        <v>2</v>
      </c>
      <c r="B3" s="33">
        <v>46026</v>
      </c>
      <c r="C3" s="26" t="s">
        <v>7</v>
      </c>
      <c r="D3" s="26">
        <v>7</v>
      </c>
      <c r="E3" s="22" t="s">
        <v>6</v>
      </c>
      <c r="G3" s="3"/>
      <c r="H3" s="2"/>
    </row>
    <row r="4" spans="1:8" x14ac:dyDescent="0.3">
      <c r="A4" s="36">
        <v>3</v>
      </c>
      <c r="B4" s="33">
        <v>46027</v>
      </c>
      <c r="C4" s="26" t="s">
        <v>8</v>
      </c>
      <c r="D4" s="26">
        <v>25</v>
      </c>
      <c r="E4" s="22" t="s">
        <v>6</v>
      </c>
      <c r="G4" s="3"/>
      <c r="H4" s="2"/>
    </row>
    <row r="5" spans="1:8" x14ac:dyDescent="0.3">
      <c r="A5" s="36">
        <v>4</v>
      </c>
      <c r="B5" s="33">
        <v>46028</v>
      </c>
      <c r="C5" s="26" t="s">
        <v>9</v>
      </c>
      <c r="D5" s="26">
        <v>12</v>
      </c>
      <c r="E5" s="22" t="s">
        <v>6</v>
      </c>
      <c r="G5" s="3"/>
      <c r="H5" s="2"/>
    </row>
    <row r="6" spans="1:8" x14ac:dyDescent="0.3">
      <c r="A6" s="36">
        <v>5</v>
      </c>
      <c r="B6" s="33">
        <v>46029</v>
      </c>
      <c r="C6" s="26" t="s">
        <v>5</v>
      </c>
      <c r="D6" s="26">
        <v>30</v>
      </c>
      <c r="E6" s="22" t="s">
        <v>10</v>
      </c>
      <c r="G6" s="3"/>
      <c r="H6" s="2"/>
    </row>
    <row r="7" spans="1:8" x14ac:dyDescent="0.3">
      <c r="A7" s="36">
        <v>6</v>
      </c>
      <c r="B7" s="33">
        <v>46031</v>
      </c>
      <c r="C7" s="26" t="s">
        <v>11</v>
      </c>
      <c r="D7" s="26">
        <v>80</v>
      </c>
      <c r="E7" s="22" t="s">
        <v>6</v>
      </c>
      <c r="G7" s="3"/>
      <c r="H7" s="2"/>
    </row>
    <row r="8" spans="1:8" x14ac:dyDescent="0.3">
      <c r="A8" s="36">
        <v>7</v>
      </c>
      <c r="B8" s="33">
        <v>46032</v>
      </c>
      <c r="C8" s="26" t="s">
        <v>7</v>
      </c>
      <c r="D8" s="26">
        <v>10</v>
      </c>
      <c r="E8" s="22" t="s">
        <v>6</v>
      </c>
    </row>
    <row r="9" spans="1:8" x14ac:dyDescent="0.3">
      <c r="A9" s="36">
        <v>8</v>
      </c>
      <c r="B9" s="33">
        <v>46033</v>
      </c>
      <c r="C9" s="26" t="s">
        <v>5</v>
      </c>
      <c r="D9" s="26">
        <v>22</v>
      </c>
      <c r="E9" s="22" t="s">
        <v>10</v>
      </c>
    </row>
    <row r="10" spans="1:8" x14ac:dyDescent="0.3">
      <c r="A10" s="36">
        <v>9</v>
      </c>
      <c r="B10" s="33">
        <v>46034</v>
      </c>
      <c r="C10" s="26" t="s">
        <v>9</v>
      </c>
      <c r="D10" s="26">
        <v>15</v>
      </c>
      <c r="E10" s="22" t="s">
        <v>6</v>
      </c>
    </row>
    <row r="11" spans="1:8" x14ac:dyDescent="0.3">
      <c r="A11" s="36">
        <v>10</v>
      </c>
      <c r="B11" s="33">
        <v>46035</v>
      </c>
      <c r="C11" s="26" t="s">
        <v>8</v>
      </c>
      <c r="D11" s="26">
        <v>40</v>
      </c>
      <c r="E11" s="22" t="s">
        <v>6</v>
      </c>
    </row>
    <row r="12" spans="1:8" x14ac:dyDescent="0.3">
      <c r="A12" s="36">
        <v>11</v>
      </c>
      <c r="B12" s="33">
        <v>46037</v>
      </c>
      <c r="C12" s="26" t="s">
        <v>11</v>
      </c>
      <c r="D12" s="26">
        <v>120</v>
      </c>
      <c r="E12" s="22" t="s">
        <v>6</v>
      </c>
    </row>
    <row r="13" spans="1:8" x14ac:dyDescent="0.3">
      <c r="A13" s="36">
        <v>12</v>
      </c>
      <c r="B13" s="33">
        <v>46039</v>
      </c>
      <c r="C13" s="26" t="s">
        <v>5</v>
      </c>
      <c r="D13" s="26">
        <v>27</v>
      </c>
      <c r="E13" s="22" t="s">
        <v>10</v>
      </c>
    </row>
    <row r="14" spans="1:8" x14ac:dyDescent="0.3">
      <c r="A14" s="36">
        <v>13</v>
      </c>
      <c r="B14" s="33">
        <v>46040</v>
      </c>
      <c r="C14" s="26" t="s">
        <v>7</v>
      </c>
      <c r="D14" s="26">
        <v>9</v>
      </c>
      <c r="E14" s="22" t="s">
        <v>6</v>
      </c>
    </row>
    <row r="15" spans="1:8" x14ac:dyDescent="0.3">
      <c r="A15" s="36">
        <v>14</v>
      </c>
      <c r="B15" s="33">
        <v>46042</v>
      </c>
      <c r="C15" s="26" t="s">
        <v>8</v>
      </c>
      <c r="D15" s="26">
        <v>35</v>
      </c>
      <c r="E15" s="22" t="s">
        <v>6</v>
      </c>
    </row>
    <row r="16" spans="1:8" ht="15" thickBot="1" x14ac:dyDescent="0.35">
      <c r="A16" s="31">
        <v>15</v>
      </c>
      <c r="B16" s="34">
        <v>46043</v>
      </c>
      <c r="C16" s="27" t="s">
        <v>5</v>
      </c>
      <c r="D16" s="27">
        <v>20</v>
      </c>
      <c r="E16" s="23" t="s">
        <v>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sqref="A1:B7"/>
    </sheetView>
  </sheetViews>
  <sheetFormatPr defaultRowHeight="14.4" x14ac:dyDescent="0.3"/>
  <cols>
    <col min="1" max="1" width="17" customWidth="1"/>
    <col min="2" max="2" width="22.33203125" customWidth="1"/>
  </cols>
  <sheetData>
    <row r="1" spans="1:2" x14ac:dyDescent="0.3">
      <c r="A1" s="14" t="s">
        <v>12</v>
      </c>
      <c r="B1" s="9" t="s">
        <v>13</v>
      </c>
    </row>
    <row r="2" spans="1:2" x14ac:dyDescent="0.3">
      <c r="A2" s="15" t="s">
        <v>8</v>
      </c>
      <c r="B2" s="16">
        <v>100</v>
      </c>
    </row>
    <row r="3" spans="1:2" x14ac:dyDescent="0.3">
      <c r="A3" s="15" t="s">
        <v>5</v>
      </c>
      <c r="B3" s="16">
        <v>117</v>
      </c>
    </row>
    <row r="4" spans="1:2" x14ac:dyDescent="0.3">
      <c r="A4" s="15" t="s">
        <v>11</v>
      </c>
      <c r="B4" s="16">
        <v>200</v>
      </c>
    </row>
    <row r="5" spans="1:2" x14ac:dyDescent="0.3">
      <c r="A5" s="15" t="s">
        <v>9</v>
      </c>
      <c r="B5" s="16">
        <v>27</v>
      </c>
    </row>
    <row r="6" spans="1:2" x14ac:dyDescent="0.3">
      <c r="A6" s="15" t="s">
        <v>7</v>
      </c>
      <c r="B6" s="16">
        <v>26</v>
      </c>
    </row>
    <row r="7" spans="1:2" ht="15" thickBot="1" x14ac:dyDescent="0.35">
      <c r="A7" s="17" t="s">
        <v>15</v>
      </c>
      <c r="B7" s="18">
        <v>470</v>
      </c>
    </row>
  </sheetData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J30" sqref="J30"/>
    </sheetView>
  </sheetViews>
  <sheetFormatPr defaultRowHeight="14.4" x14ac:dyDescent="0.3"/>
  <cols>
    <col min="1" max="1" width="17" bestFit="1" customWidth="1"/>
    <col min="2" max="2" width="22.33203125" bestFit="1" customWidth="1"/>
  </cols>
  <sheetData>
    <row r="1" spans="1:2" x14ac:dyDescent="0.3">
      <c r="A1" s="14" t="s">
        <v>4</v>
      </c>
      <c r="B1" s="9" t="s">
        <v>14</v>
      </c>
    </row>
    <row r="2" spans="1:2" x14ac:dyDescent="0.3">
      <c r="A2" s="15" t="s">
        <v>6</v>
      </c>
      <c r="B2" s="16">
        <v>391</v>
      </c>
    </row>
    <row r="3" spans="1:2" x14ac:dyDescent="0.3">
      <c r="A3" s="15" t="s">
        <v>10</v>
      </c>
      <c r="B3" s="16">
        <v>79</v>
      </c>
    </row>
    <row r="4" spans="1:2" ht="15" thickBot="1" x14ac:dyDescent="0.35">
      <c r="A4" s="17" t="s">
        <v>15</v>
      </c>
      <c r="B4" s="18">
        <v>470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C12" sqref="C12"/>
    </sheetView>
  </sheetViews>
  <sheetFormatPr defaultRowHeight="14.4" x14ac:dyDescent="0.3"/>
  <cols>
    <col min="1" max="1" width="15" customWidth="1"/>
    <col min="2" max="2" width="10.109375" bestFit="1" customWidth="1"/>
    <col min="3" max="3" width="15.21875" style="24" customWidth="1"/>
    <col min="5" max="5" width="13.21875" style="24" customWidth="1"/>
  </cols>
  <sheetData>
    <row r="1" spans="1:5" x14ac:dyDescent="0.3">
      <c r="A1" s="6" t="s">
        <v>0</v>
      </c>
      <c r="B1" s="7" t="s">
        <v>1</v>
      </c>
      <c r="C1" s="25" t="s">
        <v>2</v>
      </c>
      <c r="D1" s="8" t="s">
        <v>3</v>
      </c>
      <c r="E1" s="21" t="s">
        <v>4</v>
      </c>
    </row>
    <row r="2" spans="1:5" x14ac:dyDescent="0.3">
      <c r="A2" s="10">
        <v>11</v>
      </c>
      <c r="B2" s="5">
        <v>46037</v>
      </c>
      <c r="C2" s="26" t="s">
        <v>11</v>
      </c>
      <c r="D2" s="4">
        <v>120</v>
      </c>
      <c r="E2" s="22" t="s">
        <v>6</v>
      </c>
    </row>
    <row r="3" spans="1:5" x14ac:dyDescent="0.3">
      <c r="A3" s="10">
        <v>6</v>
      </c>
      <c r="B3" s="5">
        <v>46031</v>
      </c>
      <c r="C3" s="26" t="s">
        <v>11</v>
      </c>
      <c r="D3" s="4">
        <v>80</v>
      </c>
      <c r="E3" s="22" t="s">
        <v>6</v>
      </c>
    </row>
    <row r="4" spans="1:5" x14ac:dyDescent="0.3">
      <c r="A4" s="10">
        <v>10</v>
      </c>
      <c r="B4" s="5">
        <v>46035</v>
      </c>
      <c r="C4" s="26" t="s">
        <v>8</v>
      </c>
      <c r="D4" s="4">
        <v>40</v>
      </c>
      <c r="E4" s="22" t="s">
        <v>6</v>
      </c>
    </row>
    <row r="5" spans="1:5" x14ac:dyDescent="0.3">
      <c r="A5" s="10">
        <v>14</v>
      </c>
      <c r="B5" s="5">
        <v>46042</v>
      </c>
      <c r="C5" s="26" t="s">
        <v>8</v>
      </c>
      <c r="D5" s="4">
        <v>35</v>
      </c>
      <c r="E5" s="22" t="s">
        <v>6</v>
      </c>
    </row>
    <row r="6" spans="1:5" ht="15" thickBot="1" x14ac:dyDescent="0.35">
      <c r="A6" s="11">
        <v>5</v>
      </c>
      <c r="B6" s="12">
        <v>46029</v>
      </c>
      <c r="C6" s="27" t="s">
        <v>5</v>
      </c>
      <c r="D6" s="13">
        <v>30</v>
      </c>
      <c r="E6" s="23" t="s">
        <v>10</v>
      </c>
    </row>
    <row r="7" spans="1:5" x14ac:dyDescent="0.3">
      <c r="B7" s="1"/>
    </row>
    <row r="8" spans="1:5" x14ac:dyDescent="0.3">
      <c r="B8" s="1"/>
    </row>
    <row r="9" spans="1:5" x14ac:dyDescent="0.3">
      <c r="B9" s="1"/>
    </row>
    <row r="10" spans="1:5" x14ac:dyDescent="0.3">
      <c r="B10" s="1"/>
    </row>
    <row r="11" spans="1:5" x14ac:dyDescent="0.3">
      <c r="B11" s="1"/>
    </row>
    <row r="12" spans="1:5" x14ac:dyDescent="0.3">
      <c r="B12" s="1"/>
    </row>
    <row r="13" spans="1:5" x14ac:dyDescent="0.3">
      <c r="B13" s="1"/>
    </row>
    <row r="14" spans="1:5" x14ac:dyDescent="0.3">
      <c r="B14" s="1"/>
    </row>
    <row r="15" spans="1:5" x14ac:dyDescent="0.3">
      <c r="B15" s="1"/>
    </row>
    <row r="16" spans="1:5" x14ac:dyDescent="0.3">
      <c r="B16" s="1"/>
    </row>
  </sheetData>
  <sortState ref="A2:E16">
    <sortCondition descending="1" ref="D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F8" sqref="F8"/>
    </sheetView>
  </sheetViews>
  <sheetFormatPr defaultRowHeight="14.4" x14ac:dyDescent="0.3"/>
  <cols>
    <col min="1" max="1" width="13.21875" style="24" customWidth="1"/>
    <col min="2" max="2" width="17.88671875" style="24" customWidth="1"/>
    <col min="3" max="3" width="23.33203125" style="24" customWidth="1"/>
    <col min="4" max="4" width="12.21875" customWidth="1"/>
  </cols>
  <sheetData>
    <row r="1" spans="1:3" x14ac:dyDescent="0.3">
      <c r="A1" s="30" t="s">
        <v>16</v>
      </c>
      <c r="B1" s="25" t="s">
        <v>17</v>
      </c>
      <c r="C1" s="28" t="s">
        <v>18</v>
      </c>
    </row>
    <row r="2" spans="1:3" ht="15" thickBot="1" x14ac:dyDescent="0.35">
      <c r="A2" s="31">
        <f>SUM('Monthly Spending Overview'!D2:D16)</f>
        <v>470</v>
      </c>
      <c r="B2" s="29">
        <f>AVERAGE('Monthly Spending Overview'!D2:D16)</f>
        <v>31.333333333333332</v>
      </c>
      <c r="C2" s="20">
        <f>MAX('Monthly Spending Overview'!D2:D16)</f>
        <v>120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Dashboard</vt:lpstr>
      <vt:lpstr>Monthly Spending Overview</vt:lpstr>
      <vt:lpstr>Expense Categories</vt:lpstr>
      <vt:lpstr>Payment Type Distribution</vt:lpstr>
      <vt:lpstr>Top Transactions</vt:lpstr>
      <vt:lpstr>KPI 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2026-05-21T13:00:11Z</dcterms:modified>
</cp:coreProperties>
</file>