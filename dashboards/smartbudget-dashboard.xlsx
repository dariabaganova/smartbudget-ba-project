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4"/>
  </bookViews>
  <sheets>
    <sheet name="Monthly Spending Overview" sheetId="1" r:id="rId1"/>
    <sheet name="Expense Categories" sheetId="4" r:id="rId2"/>
    <sheet name="Payment Type Distribution" sheetId="6" r:id="rId3"/>
    <sheet name="Top Transactions" sheetId="7" r:id="rId4"/>
    <sheet name="KPI cards" sheetId="8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8" l="1"/>
  <c r="B2" i="8"/>
  <c r="A2" i="8"/>
</calcChain>
</file>

<file path=xl/sharedStrings.xml><?xml version="1.0" encoding="utf-8"?>
<sst xmlns="http://schemas.openxmlformats.org/spreadsheetml/2006/main" count="66" uniqueCount="19">
  <si>
    <t>transaction_id</t>
  </si>
  <si>
    <t>date</t>
  </si>
  <si>
    <t>category</t>
  </si>
  <si>
    <t>amount</t>
  </si>
  <si>
    <t>payment_type</t>
  </si>
  <si>
    <t>Food</t>
  </si>
  <si>
    <t>Card</t>
  </si>
  <si>
    <t>Transport</t>
  </si>
  <si>
    <t>Entertainment</t>
  </si>
  <si>
    <t>Subscriptions</t>
  </si>
  <si>
    <t>Cash</t>
  </si>
  <si>
    <t>Shopping</t>
  </si>
  <si>
    <t>Category</t>
  </si>
  <si>
    <t>Total Spent</t>
  </si>
  <si>
    <t>SUM(amount)</t>
  </si>
  <si>
    <t>Total</t>
  </si>
  <si>
    <t>Total Spending</t>
  </si>
  <si>
    <t>Average Transaction</t>
  </si>
  <si>
    <t>Largest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</si>
</sst>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Border="1"/>
    <xf numFmtId="14" fontId="0" fillId="0" borderId="0" xfId="0" applyNumberFormat="1" applyBorder="1"/>
    <xf numFmtId="0" fontId="0" fillId="0" borderId="1" xfId="0" applyBorder="1"/>
    <xf numFmtId="0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pivotButton="1" applyBorder="1"/>
    <xf numFmtId="0" fontId="0" fillId="0" borderId="4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  <xf numFmtId="0" fontId="0" fillId="0" borderId="8" xfId="0" applyNumberFormat="1" applyBorder="1"/>
    <xf numFmtId="0" fontId="1" fillId="0" borderId="3" xfId="0" applyFont="1" applyBorder="1" applyAlignment="1">
      <alignment horizontal="center" vertical="center" wrapText="1"/>
    </xf>
    <xf numFmtId="2" fontId="0" fillId="0" borderId="7" xfId="0" applyNumberFormat="1" applyBorder="1"/>
    <xf numFmtId="0" fontId="1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2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[smartbudget-dashboard.xlsx]Expense Categories!Сводная таблица1</c:name>
    <c:fmtId val="0"/>
  </c:pivotSource>
  <c:chart>
    <c:autoTitleDeleted val="1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5358705161854769E-2"/>
          <c:y val="0.26328484981044037"/>
          <c:w val="0.77769247594050739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Categories'!$B$1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'Expense Categories'!$A$2:$A$7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Shopping</c:v>
                </c:pt>
                <c:pt idx="3">
                  <c:v>Subscriptions</c:v>
                </c:pt>
                <c:pt idx="4">
                  <c:v>Transport</c:v>
                </c:pt>
              </c:strCache>
            </c:strRef>
          </c:cat>
          <c:val>
            <c:numRef>
              <c:f>'Expense Categories'!$B$2:$B$7</c:f>
              <c:numCache>
                <c:formatCode>General</c:formatCode>
                <c:ptCount val="5"/>
                <c:pt idx="0">
                  <c:v>100</c:v>
                </c:pt>
                <c:pt idx="1">
                  <c:v>117</c:v>
                </c:pt>
                <c:pt idx="2">
                  <c:v>200</c:v>
                </c:pt>
                <c:pt idx="3">
                  <c:v>27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A-4CF0-BA41-B0DCE66C7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1538815"/>
        <c:axId val="751541727"/>
      </c:barChart>
      <c:catAx>
        <c:axId val="75153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541727"/>
        <c:crosses val="autoZero"/>
        <c:auto val="1"/>
        <c:lblAlgn val="ctr"/>
        <c:lblOffset val="100"/>
        <c:noMultiLvlLbl val="0"/>
      </c:catAx>
      <c:valAx>
        <c:axId val="75154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53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[smartbudget-dashboard.xlsx]Payment Type Distribution!Сводная таблица3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Type Distribution'!$B$1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C4-4848-9EE5-6EA1F5456C21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C4-4848-9EE5-6EA1F5456C21}"/>
              </c:ext>
            </c:extLst>
          </c:dPt>
          <c:cat>
            <c:strRef>
              <c:f>'Payment Type Distribution'!$A$2:$A$4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'Payment Type Distribution'!$B$2:$B$4</c:f>
              <c:numCache>
                <c:formatCode>General</c:formatCode>
                <c:ptCount val="2"/>
                <c:pt idx="0">
                  <c:v>391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5-421C-B6BF-FE3C8BB79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45720</xdr:colOff>
      <xdr:row>23</xdr:row>
      <xdr:rowOff>7620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3810</xdr:rowOff>
    </xdr:from>
    <xdr:to>
      <xdr:col>5</xdr:col>
      <xdr:colOff>45720</xdr:colOff>
      <xdr:row>20</xdr:row>
      <xdr:rowOff>11430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62.476639351851" createdVersion="6" refreshedVersion="6" minRefreshableVersion="3" recordCount="15">
  <cacheSource type="worksheet">
    <worksheetSource ref="A1:E16" sheet="Monthly Spending Overview"/>
  </cacheSource>
  <cacheFields count="5">
    <cacheField name="transaction_id" numFmtId="0">
      <sharedItems containsSemiMixedTypes="0" containsString="0" containsNumber="1" containsInteger="1" minValue="1" maxValue="15"/>
    </cacheField>
    <cacheField name="date" numFmtId="14">
      <sharedItems containsSemiMixedTypes="0" containsNonDate="0" containsDate="1" containsString="0" minDate="2026-01-03T00:00:00" maxDate="2026-01-22T00:00:00"/>
    </cacheField>
    <cacheField name="category" numFmtId="0">
      <sharedItems count="5">
        <s v="Food"/>
        <s v="Transport"/>
        <s v="Entertainment"/>
        <s v="Subscriptions"/>
        <s v="Shopping"/>
      </sharedItems>
    </cacheField>
    <cacheField name="amount" numFmtId="0">
      <sharedItems containsSemiMixedTypes="0" containsString="0" containsNumber="1" containsInteger="1" minValue="7" maxValue="120"/>
    </cacheField>
    <cacheField name="payment_type" numFmtId="0">
      <sharedItems count="2">
        <s v="Card"/>
        <s v="Ca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"/>
    <d v="2026-01-03T00:00:00"/>
    <x v="0"/>
    <n v="18"/>
    <x v="0"/>
  </r>
  <r>
    <n v="2"/>
    <d v="2026-01-04T00:00:00"/>
    <x v="1"/>
    <n v="7"/>
    <x v="0"/>
  </r>
  <r>
    <n v="3"/>
    <d v="2026-01-05T00:00:00"/>
    <x v="2"/>
    <n v="25"/>
    <x v="0"/>
  </r>
  <r>
    <n v="4"/>
    <d v="2026-01-06T00:00:00"/>
    <x v="3"/>
    <n v="12"/>
    <x v="0"/>
  </r>
  <r>
    <n v="5"/>
    <d v="2026-01-07T00:00:00"/>
    <x v="0"/>
    <n v="30"/>
    <x v="1"/>
  </r>
  <r>
    <n v="6"/>
    <d v="2026-01-09T00:00:00"/>
    <x v="4"/>
    <n v="80"/>
    <x v="0"/>
  </r>
  <r>
    <n v="7"/>
    <d v="2026-01-10T00:00:00"/>
    <x v="1"/>
    <n v="10"/>
    <x v="0"/>
  </r>
  <r>
    <n v="8"/>
    <d v="2026-01-11T00:00:00"/>
    <x v="0"/>
    <n v="22"/>
    <x v="1"/>
  </r>
  <r>
    <n v="9"/>
    <d v="2026-01-12T00:00:00"/>
    <x v="3"/>
    <n v="15"/>
    <x v="0"/>
  </r>
  <r>
    <n v="10"/>
    <d v="2026-01-13T00:00:00"/>
    <x v="2"/>
    <n v="40"/>
    <x v="0"/>
  </r>
  <r>
    <n v="11"/>
    <d v="2026-01-15T00:00:00"/>
    <x v="4"/>
    <n v="120"/>
    <x v="0"/>
  </r>
  <r>
    <n v="12"/>
    <d v="2026-01-17T00:00:00"/>
    <x v="0"/>
    <n v="27"/>
    <x v="1"/>
  </r>
  <r>
    <n v="13"/>
    <d v="2026-01-18T00:00:00"/>
    <x v="1"/>
    <n v="9"/>
    <x v="0"/>
  </r>
  <r>
    <n v="14"/>
    <d v="2026-01-20T00:00:00"/>
    <x v="2"/>
    <n v="35"/>
    <x v="0"/>
  </r>
  <r>
    <n v="15"/>
    <d v="2026-01-21T00:00:00"/>
    <x v="0"/>
    <n v="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grandTotalCaption="Total" updatedVersion="6" minRefreshableVersion="3" useAutoFormatting="1" itemPrintTitles="1" createdVersion="6" indent="0" outline="1" outlineData="1" multipleFieldFilters="0" chartFormat="1" rowHeaderCaption="Category">
  <location ref="A1:B7" firstHeaderRow="1" firstDataRow="1" firstDataCol="1"/>
  <pivotFields count="5">
    <pivotField showAll="0"/>
    <pivotField numFmtId="14"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pent" fld="3" baseField="0" baseItem="0"/>
  </dataFields>
  <formats count="14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outline="0" axis="axisValues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grandTotalCaption="Total" updatedVersion="6" minRefreshableVersion="3" useAutoFormatting="1" itemPrintTitles="1" createdVersion="6" indent="0" outline="1" outlineData="1" multipleFieldFilters="0" chartFormat="1" rowHeaderCaption="payment_type">
  <location ref="A1:B4" firstHeaderRow="1" firstDataRow="1" firstDataCol="1"/>
  <pivotFields count="5">
    <pivotField showAll="0"/>
    <pivotField numFmtId="14"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(amount)" fld="3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4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D2" sqref="D2"/>
    </sheetView>
  </sheetViews>
  <sheetFormatPr defaultRowHeight="14.4" x14ac:dyDescent="0.3"/>
  <cols>
    <col min="1" max="1" width="12.44140625" customWidth="1"/>
    <col min="2" max="2" width="12.44140625" style="2" customWidth="1"/>
    <col min="3" max="3" width="12.44140625" customWidth="1"/>
    <col min="4" max="4" width="15.88671875" customWidth="1"/>
    <col min="5" max="5" width="13.5546875" customWidth="1"/>
    <col min="7" max="8" width="19" customWidth="1"/>
  </cols>
  <sheetData>
    <row r="1" spans="1:8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8" x14ac:dyDescent="0.3">
      <c r="A2" s="10">
        <v>1</v>
      </c>
      <c r="B2" s="5">
        <v>46025</v>
      </c>
      <c r="C2" s="4" t="s">
        <v>5</v>
      </c>
      <c r="D2" s="4">
        <v>18</v>
      </c>
      <c r="E2" s="11" t="s">
        <v>6</v>
      </c>
      <c r="G2" s="3"/>
      <c r="H2" s="2"/>
    </row>
    <row r="3" spans="1:8" x14ac:dyDescent="0.3">
      <c r="A3" s="10">
        <v>2</v>
      </c>
      <c r="B3" s="5">
        <v>46026</v>
      </c>
      <c r="C3" s="4" t="s">
        <v>7</v>
      </c>
      <c r="D3" s="4">
        <v>7</v>
      </c>
      <c r="E3" s="11" t="s">
        <v>6</v>
      </c>
      <c r="G3" s="3"/>
      <c r="H3" s="2"/>
    </row>
    <row r="4" spans="1:8" x14ac:dyDescent="0.3">
      <c r="A4" s="10">
        <v>3</v>
      </c>
      <c r="B4" s="5">
        <v>46027</v>
      </c>
      <c r="C4" s="4" t="s">
        <v>8</v>
      </c>
      <c r="D4" s="4">
        <v>25</v>
      </c>
      <c r="E4" s="11" t="s">
        <v>6</v>
      </c>
      <c r="G4" s="3"/>
      <c r="H4" s="2"/>
    </row>
    <row r="5" spans="1:8" x14ac:dyDescent="0.3">
      <c r="A5" s="10">
        <v>4</v>
      </c>
      <c r="B5" s="5">
        <v>46028</v>
      </c>
      <c r="C5" s="4" t="s">
        <v>9</v>
      </c>
      <c r="D5" s="4">
        <v>12</v>
      </c>
      <c r="E5" s="11" t="s">
        <v>6</v>
      </c>
      <c r="G5" s="3"/>
      <c r="H5" s="2"/>
    </row>
    <row r="6" spans="1:8" x14ac:dyDescent="0.3">
      <c r="A6" s="10">
        <v>5</v>
      </c>
      <c r="B6" s="5">
        <v>46029</v>
      </c>
      <c r="C6" s="4" t="s">
        <v>5</v>
      </c>
      <c r="D6" s="4">
        <v>30</v>
      </c>
      <c r="E6" s="11" t="s">
        <v>10</v>
      </c>
      <c r="G6" s="3"/>
      <c r="H6" s="2"/>
    </row>
    <row r="7" spans="1:8" x14ac:dyDescent="0.3">
      <c r="A7" s="10">
        <v>6</v>
      </c>
      <c r="B7" s="5">
        <v>46031</v>
      </c>
      <c r="C7" s="4" t="s">
        <v>11</v>
      </c>
      <c r="D7" s="4">
        <v>80</v>
      </c>
      <c r="E7" s="11" t="s">
        <v>6</v>
      </c>
      <c r="G7" s="3"/>
      <c r="H7" s="2"/>
    </row>
    <row r="8" spans="1:8" x14ac:dyDescent="0.3">
      <c r="A8" s="10">
        <v>7</v>
      </c>
      <c r="B8" s="5">
        <v>46032</v>
      </c>
      <c r="C8" s="4" t="s">
        <v>7</v>
      </c>
      <c r="D8" s="4">
        <v>10</v>
      </c>
      <c r="E8" s="11" t="s">
        <v>6</v>
      </c>
    </row>
    <row r="9" spans="1:8" x14ac:dyDescent="0.3">
      <c r="A9" s="10">
        <v>8</v>
      </c>
      <c r="B9" s="5">
        <v>46033</v>
      </c>
      <c r="C9" s="4" t="s">
        <v>5</v>
      </c>
      <c r="D9" s="4">
        <v>22</v>
      </c>
      <c r="E9" s="11" t="s">
        <v>10</v>
      </c>
    </row>
    <row r="10" spans="1:8" x14ac:dyDescent="0.3">
      <c r="A10" s="10">
        <v>9</v>
      </c>
      <c r="B10" s="5">
        <v>46034</v>
      </c>
      <c r="C10" s="4" t="s">
        <v>9</v>
      </c>
      <c r="D10" s="4">
        <v>15</v>
      </c>
      <c r="E10" s="11" t="s">
        <v>6</v>
      </c>
    </row>
    <row r="11" spans="1:8" x14ac:dyDescent="0.3">
      <c r="A11" s="10">
        <v>10</v>
      </c>
      <c r="B11" s="5">
        <v>46035</v>
      </c>
      <c r="C11" s="4" t="s">
        <v>8</v>
      </c>
      <c r="D11" s="4">
        <v>40</v>
      </c>
      <c r="E11" s="11" t="s">
        <v>6</v>
      </c>
    </row>
    <row r="12" spans="1:8" x14ac:dyDescent="0.3">
      <c r="A12" s="10">
        <v>11</v>
      </c>
      <c r="B12" s="5">
        <v>46037</v>
      </c>
      <c r="C12" s="4" t="s">
        <v>11</v>
      </c>
      <c r="D12" s="4">
        <v>120</v>
      </c>
      <c r="E12" s="11" t="s">
        <v>6</v>
      </c>
    </row>
    <row r="13" spans="1:8" x14ac:dyDescent="0.3">
      <c r="A13" s="10">
        <v>12</v>
      </c>
      <c r="B13" s="5">
        <v>46039</v>
      </c>
      <c r="C13" s="4" t="s">
        <v>5</v>
      </c>
      <c r="D13" s="4">
        <v>27</v>
      </c>
      <c r="E13" s="11" t="s">
        <v>10</v>
      </c>
    </row>
    <row r="14" spans="1:8" x14ac:dyDescent="0.3">
      <c r="A14" s="10">
        <v>13</v>
      </c>
      <c r="B14" s="5">
        <v>46040</v>
      </c>
      <c r="C14" s="4" t="s">
        <v>7</v>
      </c>
      <c r="D14" s="4">
        <v>9</v>
      </c>
      <c r="E14" s="11" t="s">
        <v>6</v>
      </c>
    </row>
    <row r="15" spans="1:8" x14ac:dyDescent="0.3">
      <c r="A15" s="10">
        <v>14</v>
      </c>
      <c r="B15" s="5">
        <v>46042</v>
      </c>
      <c r="C15" s="4" t="s">
        <v>8</v>
      </c>
      <c r="D15" s="4">
        <v>35</v>
      </c>
      <c r="E15" s="11" t="s">
        <v>6</v>
      </c>
    </row>
    <row r="16" spans="1:8" ht="15" thickBot="1" x14ac:dyDescent="0.35">
      <c r="A16" s="12">
        <v>15</v>
      </c>
      <c r="B16" s="13">
        <v>46043</v>
      </c>
      <c r="C16" s="14" t="s">
        <v>5</v>
      </c>
      <c r="D16" s="14">
        <v>20</v>
      </c>
      <c r="E16" s="1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4.4" x14ac:dyDescent="0.3"/>
  <cols>
    <col min="1" max="1" width="17" customWidth="1"/>
    <col min="2" max="2" width="22.33203125" customWidth="1"/>
  </cols>
  <sheetData>
    <row r="1" spans="1:2" x14ac:dyDescent="0.3">
      <c r="A1" s="16" t="s">
        <v>12</v>
      </c>
      <c r="B1" s="9" t="s">
        <v>13</v>
      </c>
    </row>
    <row r="2" spans="1:2" x14ac:dyDescent="0.3">
      <c r="A2" s="17" t="s">
        <v>8</v>
      </c>
      <c r="B2" s="18">
        <v>100</v>
      </c>
    </row>
    <row r="3" spans="1:2" x14ac:dyDescent="0.3">
      <c r="A3" s="17" t="s">
        <v>5</v>
      </c>
      <c r="B3" s="18">
        <v>117</v>
      </c>
    </row>
    <row r="4" spans="1:2" x14ac:dyDescent="0.3">
      <c r="A4" s="17" t="s">
        <v>11</v>
      </c>
      <c r="B4" s="18">
        <v>200</v>
      </c>
    </row>
    <row r="5" spans="1:2" x14ac:dyDescent="0.3">
      <c r="A5" s="17" t="s">
        <v>9</v>
      </c>
      <c r="B5" s="18">
        <v>27</v>
      </c>
    </row>
    <row r="6" spans="1:2" x14ac:dyDescent="0.3">
      <c r="A6" s="17" t="s">
        <v>7</v>
      </c>
      <c r="B6" s="18">
        <v>26</v>
      </c>
    </row>
    <row r="7" spans="1:2" ht="15" thickBot="1" x14ac:dyDescent="0.35">
      <c r="A7" s="19" t="s">
        <v>15</v>
      </c>
      <c r="B7" s="20">
        <v>470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9" sqref="F9"/>
    </sheetView>
  </sheetViews>
  <sheetFormatPr defaultRowHeight="14.4" x14ac:dyDescent="0.3"/>
  <cols>
    <col min="1" max="1" width="17" bestFit="1" customWidth="1"/>
    <col min="2" max="2" width="22.33203125" bestFit="1" customWidth="1"/>
  </cols>
  <sheetData>
    <row r="1" spans="1:2" x14ac:dyDescent="0.3">
      <c r="A1" s="16" t="s">
        <v>4</v>
      </c>
      <c r="B1" s="9" t="s">
        <v>14</v>
      </c>
    </row>
    <row r="2" spans="1:2" x14ac:dyDescent="0.3">
      <c r="A2" s="17" t="s">
        <v>6</v>
      </c>
      <c r="B2" s="18">
        <v>391</v>
      </c>
    </row>
    <row r="3" spans="1:2" x14ac:dyDescent="0.3">
      <c r="A3" s="17" t="s">
        <v>10</v>
      </c>
      <c r="B3" s="18">
        <v>79</v>
      </c>
    </row>
    <row r="4" spans="1:2" ht="15" thickBot="1" x14ac:dyDescent="0.35">
      <c r="A4" s="19" t="s">
        <v>15</v>
      </c>
      <c r="B4" s="20">
        <v>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C11" sqref="C11"/>
    </sheetView>
  </sheetViews>
  <sheetFormatPr defaultRowHeight="14.4" x14ac:dyDescent="0.3"/>
  <cols>
    <col min="1" max="1" width="15" customWidth="1"/>
    <col min="2" max="2" width="10.109375" bestFit="1" customWidth="1"/>
    <col min="3" max="3" width="15.21875" customWidth="1"/>
    <col min="5" max="5" width="13.21875" customWidth="1"/>
  </cols>
  <sheetData>
    <row r="1" spans="1:5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10">
        <v>11</v>
      </c>
      <c r="B2" s="5">
        <v>46037</v>
      </c>
      <c r="C2" s="4" t="s">
        <v>11</v>
      </c>
      <c r="D2" s="4">
        <v>120</v>
      </c>
      <c r="E2" s="11" t="s">
        <v>6</v>
      </c>
    </row>
    <row r="3" spans="1:5" x14ac:dyDescent="0.3">
      <c r="A3" s="10">
        <v>6</v>
      </c>
      <c r="B3" s="5">
        <v>46031</v>
      </c>
      <c r="C3" s="4" t="s">
        <v>11</v>
      </c>
      <c r="D3" s="4">
        <v>80</v>
      </c>
      <c r="E3" s="11" t="s">
        <v>6</v>
      </c>
    </row>
    <row r="4" spans="1:5" x14ac:dyDescent="0.3">
      <c r="A4" s="10">
        <v>10</v>
      </c>
      <c r="B4" s="5">
        <v>46035</v>
      </c>
      <c r="C4" s="4" t="s">
        <v>8</v>
      </c>
      <c r="D4" s="4">
        <v>40</v>
      </c>
      <c r="E4" s="11" t="s">
        <v>6</v>
      </c>
    </row>
    <row r="5" spans="1:5" x14ac:dyDescent="0.3">
      <c r="A5" s="10">
        <v>14</v>
      </c>
      <c r="B5" s="5">
        <v>46042</v>
      </c>
      <c r="C5" s="4" t="s">
        <v>8</v>
      </c>
      <c r="D5" s="4">
        <v>35</v>
      </c>
      <c r="E5" s="11" t="s">
        <v>6</v>
      </c>
    </row>
    <row r="6" spans="1:5" ht="15" thickBot="1" x14ac:dyDescent="0.35">
      <c r="A6" s="12">
        <v>5</v>
      </c>
      <c r="B6" s="13">
        <v>46029</v>
      </c>
      <c r="C6" s="14" t="s">
        <v>5</v>
      </c>
      <c r="D6" s="14">
        <v>30</v>
      </c>
      <c r="E6" s="15" t="s">
        <v>10</v>
      </c>
    </row>
    <row r="7" spans="1:5" x14ac:dyDescent="0.3">
      <c r="B7" s="1"/>
    </row>
    <row r="8" spans="1:5" x14ac:dyDescent="0.3">
      <c r="B8" s="1"/>
    </row>
    <row r="9" spans="1:5" x14ac:dyDescent="0.3">
      <c r="B9" s="1"/>
    </row>
    <row r="10" spans="1:5" x14ac:dyDescent="0.3">
      <c r="B10" s="1"/>
    </row>
    <row r="11" spans="1:5" x14ac:dyDescent="0.3">
      <c r="B11" s="1"/>
    </row>
    <row r="12" spans="1:5" x14ac:dyDescent="0.3">
      <c r="B12" s="1"/>
    </row>
    <row r="13" spans="1:5" x14ac:dyDescent="0.3">
      <c r="B13" s="1"/>
    </row>
    <row r="14" spans="1:5" x14ac:dyDescent="0.3">
      <c r="B14" s="1"/>
    </row>
    <row r="15" spans="1:5" x14ac:dyDescent="0.3">
      <c r="B15" s="1"/>
    </row>
    <row r="16" spans="1:5" x14ac:dyDescent="0.3">
      <c r="B16" s="1"/>
    </row>
  </sheetData>
  <sortState ref="A2:E16">
    <sortCondition descending="1" ref="D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11" sqref="G11"/>
    </sheetView>
  </sheetViews>
  <sheetFormatPr defaultRowHeight="14.4" x14ac:dyDescent="0.3"/>
  <cols>
    <col min="1" max="1" width="13.21875" customWidth="1"/>
    <col min="2" max="2" width="17.88671875" customWidth="1"/>
    <col min="3" max="3" width="23.33203125" customWidth="1"/>
    <col min="4" max="4" width="12.21875" customWidth="1"/>
  </cols>
  <sheetData>
    <row r="1" spans="1:3" x14ac:dyDescent="0.3">
      <c r="A1" s="6" t="s">
        <v>16</v>
      </c>
      <c r="B1" s="8" t="s">
        <v>17</v>
      </c>
      <c r="C1" s="21" t="s">
        <v>18</v>
      </c>
    </row>
    <row r="2" spans="1:3" ht="15" thickBot="1" x14ac:dyDescent="0.35">
      <c r="A2" s="12">
        <f>SUM('Monthly Spending Overview'!D2:D16)</f>
        <v>470</v>
      </c>
      <c r="B2" s="22">
        <f>AVERAGE('Monthly Spending Overview'!D2:D16)</f>
        <v>31.333333333333332</v>
      </c>
      <c r="C2" s="23">
        <f>MAX('Monthly Spending Overview'!D2:D16)</f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Monthly Spending Overview</vt:lpstr>
      <vt:lpstr>Expense Categories</vt:lpstr>
      <vt:lpstr>Payment Type Distribution</vt:lpstr>
      <vt:lpstr>Top Transactions</vt:lpstr>
      <vt:lpstr>KPI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2026-05-21T12:33:02Z</dcterms:modified>
</cp:coreProperties>
</file>